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17D6B757-1220-444A-AD52-A27748187796}" xr6:coauthVersionLast="47" xr6:coauthVersionMax="47" xr10:uidLastSave="{00000000-0000-0000-0000-000000000000}"/>
  <bookViews>
    <workbookView xWindow="-110" yWindow="-110" windowWidth="19420" windowHeight="9580" xr2:uid="{00000000-000D-0000-FFFF-FFFF00000000}"/>
  </bookViews>
  <sheets>
    <sheet name="Sand" sheetId="3" r:id="rId1"/>
    <sheet name="Clay" sheetId="2" r:id="rId2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<sst xmlns="http://schemas.openxmlformats.org/spreadsheetml/2006/main" count="111" uniqueCount="97">
  <si>
    <t>Depth (m)</t>
  </si>
  <si>
    <t>Sublayer #</t>
  </si>
  <si>
    <t>Sublayer Name</t>
  </si>
  <si>
    <t>SAND</t>
  </si>
  <si>
    <t>SILT</t>
  </si>
  <si>
    <t>σvo (kPa)</t>
  </si>
  <si>
    <t>Groundwater depth (m) =</t>
  </si>
  <si>
    <t>PWP (kPa)</t>
  </si>
  <si>
    <t>σ'vo (kPa)</t>
  </si>
  <si>
    <t>Foundation B (m) =</t>
  </si>
  <si>
    <t>Foundation L (m) =</t>
  </si>
  <si>
    <t>Foundation thickness (m) =</t>
  </si>
  <si>
    <t>Total unit weight of soil γ (kN/m3) =</t>
  </si>
  <si>
    <t>Total unit weight of concrete γc (kN/m3) =</t>
  </si>
  <si>
    <t>Structure load (kN) =</t>
  </si>
  <si>
    <t>Foundation weight (kN) =</t>
  </si>
  <si>
    <t>H (m) =</t>
  </si>
  <si>
    <t>B (m) =</t>
  </si>
  <si>
    <t>L (m) =</t>
  </si>
  <si>
    <t>Calculate Consolidation Settlement</t>
  </si>
  <si>
    <t>Sublayer</t>
  </si>
  <si>
    <t>Top Depth (m)</t>
  </si>
  <si>
    <t>Mid Depth (m)</t>
  </si>
  <si>
    <t>Bottom Depth (m)</t>
  </si>
  <si>
    <t>OCR</t>
  </si>
  <si>
    <t>σ'vp (kPa)</t>
  </si>
  <si>
    <t>Cc =</t>
  </si>
  <si>
    <t>Cs =</t>
  </si>
  <si>
    <t>eo =</t>
  </si>
  <si>
    <t>Case #</t>
  </si>
  <si>
    <t>Case 2: Starts OC and ends OC</t>
  </si>
  <si>
    <t>Case 1: Starts NC and ends NC</t>
  </si>
  <si>
    <t>Case 3: Starts OC and ends NC</t>
  </si>
  <si>
    <t>Sublayer thickness, H0 (m)</t>
  </si>
  <si>
    <t>Note:</t>
  </si>
  <si>
    <t xml:space="preserve">Measured N </t>
  </si>
  <si>
    <r>
      <t>N</t>
    </r>
    <r>
      <rPr>
        <vertAlign val="subscript"/>
        <sz val="11"/>
        <color theme="1"/>
        <rFont val="Arial"/>
        <family val="2"/>
      </rPr>
      <t>60</t>
    </r>
  </si>
  <si>
    <t>SPT N</t>
  </si>
  <si>
    <t>Rod length factor, Cr</t>
  </si>
  <si>
    <t>Sampler factor, Cs</t>
  </si>
  <si>
    <t>Diameter factor, Cd</t>
  </si>
  <si>
    <t>Energy ratio (%)</t>
  </si>
  <si>
    <t>Ennergy factor, Ch</t>
  </si>
  <si>
    <t>Correction needed for silts and gravels?</t>
  </si>
  <si>
    <t>LR (m) =</t>
  </si>
  <si>
    <t>Compressibility index, Ic</t>
  </si>
  <si>
    <t>Avg N60</t>
  </si>
  <si>
    <t>Depth of influence, zf0</t>
  </si>
  <si>
    <t>Total qb at the base of foundation (kPa) =</t>
  </si>
  <si>
    <t>Shape factor</t>
  </si>
  <si>
    <t>Layer thickness factor</t>
  </si>
  <si>
    <t>Time factor</t>
  </si>
  <si>
    <t>Immediately after construction:</t>
  </si>
  <si>
    <t xml:space="preserve">ft = </t>
  </si>
  <si>
    <t>R3yrs =</t>
  </si>
  <si>
    <t>Rt =</t>
  </si>
  <si>
    <t>t (years) =</t>
  </si>
  <si>
    <t>σ'vp at zf=0 (kPa) =</t>
  </si>
  <si>
    <t>Effective stress at the base of footing prior to excavation:</t>
  </si>
  <si>
    <t>Total settlement immediately after construction:</t>
  </si>
  <si>
    <t xml:space="preserve">w (m) = </t>
  </si>
  <si>
    <t>Total settlement 30 years after construction:</t>
  </si>
  <si>
    <t>Calculate total qb:</t>
  </si>
  <si>
    <t xml:space="preserve">Su (kPa) = </t>
  </si>
  <si>
    <r>
      <t xml:space="preserve">Total unit weight of soil </t>
    </r>
    <r>
      <rPr>
        <sz val="11"/>
        <color theme="1"/>
        <rFont val="Times New Roman"/>
        <family val="1"/>
      </rPr>
      <t>γ</t>
    </r>
    <r>
      <rPr>
        <sz val="11"/>
        <color theme="1"/>
        <rFont val="Arial"/>
        <family val="2"/>
      </rPr>
      <t xml:space="preserve"> (kN/m3) =</t>
    </r>
  </si>
  <si>
    <t>Extract I0 and I1:</t>
  </si>
  <si>
    <t>L/B =</t>
  </si>
  <si>
    <t>H/B =</t>
  </si>
  <si>
    <t>D/B =</t>
  </si>
  <si>
    <t>K =</t>
  </si>
  <si>
    <t>Calculate Eu</t>
  </si>
  <si>
    <t>qb (kPa) =</t>
  </si>
  <si>
    <t>D (m) =</t>
  </si>
  <si>
    <t>Zf (m) = Depth from base of footing</t>
  </si>
  <si>
    <t>Net immediate settlement (Janbu et al. 1956):</t>
  </si>
  <si>
    <r>
      <t>qb</t>
    </r>
    <r>
      <rPr>
        <vertAlign val="superscript"/>
        <sz val="11"/>
        <color theme="1"/>
        <rFont val="Arial"/>
        <family val="2"/>
      </rPr>
      <t>net</t>
    </r>
    <r>
      <rPr>
        <sz val="11"/>
        <color theme="1"/>
        <rFont val="Arial"/>
        <family val="2"/>
      </rPr>
      <t xml:space="preserve"> (kPa) =</t>
    </r>
  </si>
  <si>
    <t>ε</t>
  </si>
  <si>
    <t>fL =</t>
  </si>
  <si>
    <t>fs =</t>
  </si>
  <si>
    <t xml:space="preserve">Ic = </t>
  </si>
  <si>
    <t xml:space="preserve">zf0 (m) = </t>
  </si>
  <si>
    <t xml:space="preserve">Total load, Q (kN) = </t>
  </si>
  <si>
    <t>ft =</t>
  </si>
  <si>
    <t>30 years after construction:</t>
  </si>
  <si>
    <t>Determination of NC vs OC sand:</t>
  </si>
  <si>
    <t xml:space="preserve">Eu (kPa) = </t>
  </si>
  <si>
    <r>
      <t>I</t>
    </r>
    <r>
      <rPr>
        <vertAlign val="subscript"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 xml:space="preserve"> =</t>
    </r>
  </si>
  <si>
    <r>
      <t>I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=</t>
    </r>
  </si>
  <si>
    <t>σ'v0 (kPa) =</t>
  </si>
  <si>
    <t xml:space="preserve">wi (m) = </t>
  </si>
  <si>
    <t>ΔH (m)</t>
  </si>
  <si>
    <t>σ'vf (kPa)</t>
  </si>
  <si>
    <t>Δσv (kPa)</t>
  </si>
  <si>
    <t>Total 1-D consolidation settlement wc,1D (m) =</t>
  </si>
  <si>
    <t>Consolidation settlement wc,3D (m) =</t>
  </si>
  <si>
    <t>Net immediate + consolidation settlement w (m) =</t>
  </si>
  <si>
    <t>Avg N60 over the depth of influence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</si>
</sst>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vertAlign val="sub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6" fillId="0" borderId="0" xfId="0" applyFont="1"/>
    <xf numFmtId="165" fontId="2" fillId="0" borderId="1" xfId="0" applyNumberFormat="1" applyFont="1" applyBorder="1"/>
    <xf numFmtId="166" fontId="2" fillId="0" borderId="6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Sand!$M$3:$M$10</c:f>
              <c:numCache>
                <c:formatCode>0.0</c:formatCode>
                <c:ptCount val="8"/>
              </c:numCache>
            </c:numRef>
          </c:xVal>
          <c:yVal>
            <c:numRef>
              <c:f>Sand!$D$3:$D$10</c:f>
              <c:numCache>
                <c:formatCode>General</c:formatCode>
                <c:ptCount val="8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0-47D3-94E2-F3C5C1050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615624"/>
        <c:axId val="349615952"/>
      </c:scatterChart>
      <c:valAx>
        <c:axId val="349615624"/>
        <c:scaling>
          <c:orientation val="minMax"/>
          <c:max val="15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N60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9615952"/>
        <c:crosses val="autoZero"/>
        <c:crossBetween val="midCat"/>
      </c:valAx>
      <c:valAx>
        <c:axId val="349615952"/>
        <c:scaling>
          <c:orientation val="maxMin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9615624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67235</xdr:colOff>
      <xdr:row>11</xdr:row>
      <xdr:rowOff>118782</xdr:rowOff>
    </xdr:from>
    <xdr:to>
      <xdr:col>18</xdr:col>
      <xdr:colOff>47067</xdr:colOff>
      <xdr:row>36</xdr:row>
      <xdr:rowOff>67235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8942294" y="2666253"/>
          <a:ext cx="6598773" cy="4430806"/>
          <a:chOff x="8527676" y="2707341"/>
          <a:chExt cx="6243920" cy="443080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aphicFramePr/>
        </xdr:nvGraphicFramePr>
        <xdr:xfrm>
          <a:off x="8527676" y="2707341"/>
          <a:ext cx="3238500" cy="44308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2203207" y="4628031"/>
            <a:ext cx="1636058" cy="224117"/>
          </a:xfrm>
          <a:prstGeom prst="rect">
            <a:avLst/>
          </a:prstGeom>
          <a:solidFill>
            <a:schemeClr val="tx1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11497235" y="3305735"/>
            <a:ext cx="3171265" cy="0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11492752" y="4847664"/>
            <a:ext cx="3171265" cy="0"/>
          </a:xfrm>
          <a:prstGeom prst="line">
            <a:avLst/>
          </a:prstGeom>
          <a:ln w="28575">
            <a:solidFill>
              <a:sysClr val="windowText" lastClr="00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11492753" y="6707841"/>
            <a:ext cx="3171265" cy="0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>
            <a:off x="11499475" y="4406153"/>
            <a:ext cx="3171265" cy="0"/>
          </a:xfrm>
          <a:prstGeom prst="line">
            <a:avLst/>
          </a:prstGeom>
          <a:ln w="28575">
            <a:solidFill>
              <a:sysClr val="windowText" lastClr="000000"/>
            </a:solidFill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Isosceles Triangl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 flipV="1">
            <a:off x="14220265" y="4224619"/>
            <a:ext cx="156882" cy="168088"/>
          </a:xfrm>
          <a:prstGeom prst="triangle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13178119" y="2991971"/>
            <a:ext cx="1535206" cy="3025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Ground surface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12635754" y="4119283"/>
            <a:ext cx="1535206" cy="3025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GWT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3236390" y="4910419"/>
            <a:ext cx="1535206" cy="3025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Base of footing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3164672" y="6766114"/>
            <a:ext cx="1535206" cy="3025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Firm soil/rock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1676530" y="4392706"/>
            <a:ext cx="2655794" cy="3025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mat</a:t>
            </a:r>
            <a:r>
              <a:rPr lang="en-US" sz="1200" baseline="0">
                <a:latin typeface="Arial" panose="020B0604020202020204" pitchFamily="34" charset="0"/>
                <a:cs typeface="Arial" panose="020B0604020202020204" pitchFamily="34" charset="0"/>
              </a:rPr>
              <a:t> found. (B=30m, L=50m)</a:t>
            </a:r>
            <a:endParaRPr lang="en-US" sz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 flipV="1">
            <a:off x="11992535" y="4863352"/>
            <a:ext cx="0" cy="1840007"/>
          </a:xfrm>
          <a:prstGeom prst="line">
            <a:avLst/>
          </a:prstGeom>
          <a:ln w="28575">
            <a:solidFill>
              <a:sysClr val="windowText" lastClr="000000"/>
            </a:solidFill>
            <a:prstDash val="solid"/>
            <a:headEnd type="arrow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12055290" y="5623113"/>
            <a:ext cx="1535206" cy="3025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H = 8 m</a:t>
            </a:r>
          </a:p>
        </xdr:txBody>
      </xdr: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/>
        </xdr:nvCxnSpPr>
        <xdr:spPr>
          <a:xfrm flipV="1">
            <a:off x="11976847" y="3316941"/>
            <a:ext cx="0" cy="1521760"/>
          </a:xfrm>
          <a:prstGeom prst="line">
            <a:avLst/>
          </a:prstGeom>
          <a:ln w="28575">
            <a:solidFill>
              <a:sysClr val="windowText" lastClr="000000"/>
            </a:solidFill>
            <a:prstDash val="solid"/>
            <a:headEnd type="arrow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/>
        </xdr:nvSpPr>
        <xdr:spPr>
          <a:xfrm>
            <a:off x="12084425" y="3657601"/>
            <a:ext cx="1535206" cy="302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D = 6.8 m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503998</xdr:colOff>
      <xdr:row>2</xdr:row>
      <xdr:rowOff>157788</xdr:rowOff>
    </xdr:from>
    <xdr:to>
      <xdr:col>13</xdr:col>
      <xdr:colOff>531426</xdr:colOff>
      <xdr:row>2</xdr:row>
      <xdr:rowOff>157788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912962" y="538788"/>
          <a:ext cx="4300071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198237</xdr:colOff>
      <xdr:row>2</xdr:row>
      <xdr:rowOff>161417</xdr:rowOff>
    </xdr:from>
    <xdr:to>
      <xdr:col>13</xdr:col>
      <xdr:colOff>439537</xdr:colOff>
      <xdr:row>3</xdr:row>
      <xdr:rowOff>186816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H="1">
          <a:off x="10879844" y="542417"/>
          <a:ext cx="241300" cy="215899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33404</xdr:colOff>
      <xdr:row>2</xdr:row>
      <xdr:rowOff>146102</xdr:rowOff>
    </xdr:from>
    <xdr:to>
      <xdr:col>13</xdr:col>
      <xdr:colOff>274437</xdr:colOff>
      <xdr:row>3</xdr:row>
      <xdr:rowOff>174116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10715011" y="527102"/>
          <a:ext cx="241033" cy="218514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806023</xdr:colOff>
      <xdr:row>2</xdr:row>
      <xdr:rowOff>157788</xdr:rowOff>
    </xdr:from>
    <xdr:to>
      <xdr:col>13</xdr:col>
      <xdr:colOff>83937</xdr:colOff>
      <xdr:row>3</xdr:row>
      <xdr:rowOff>180466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>
          <a:off x="10521523" y="538788"/>
          <a:ext cx="244021" cy="21317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942361</xdr:colOff>
      <xdr:row>2</xdr:row>
      <xdr:rowOff>146102</xdr:rowOff>
    </xdr:from>
    <xdr:to>
      <xdr:col>13</xdr:col>
      <xdr:colOff>172837</xdr:colOff>
      <xdr:row>3</xdr:row>
      <xdr:rowOff>167766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0657861" y="527102"/>
          <a:ext cx="196583" cy="212164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755223</xdr:colOff>
      <xdr:row>2</xdr:row>
      <xdr:rowOff>161417</xdr:rowOff>
    </xdr:from>
    <xdr:to>
      <xdr:col>12</xdr:col>
      <xdr:colOff>955061</xdr:colOff>
      <xdr:row>3</xdr:row>
      <xdr:rowOff>180466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0470723" y="542417"/>
          <a:ext cx="199838" cy="209549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517819</xdr:colOff>
      <xdr:row>1</xdr:row>
      <xdr:rowOff>161416</xdr:rowOff>
    </xdr:from>
    <xdr:to>
      <xdr:col>12</xdr:col>
      <xdr:colOff>239423</xdr:colOff>
      <xdr:row>5</xdr:row>
      <xdr:rowOff>171396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8763748" y="351916"/>
          <a:ext cx="1191175" cy="77198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511469</xdr:colOff>
      <xdr:row>5</xdr:row>
      <xdr:rowOff>137032</xdr:rowOff>
    </xdr:from>
    <xdr:to>
      <xdr:col>12</xdr:col>
      <xdr:colOff>233073</xdr:colOff>
      <xdr:row>5</xdr:row>
      <xdr:rowOff>185367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8757398" y="1089532"/>
          <a:ext cx="1191175" cy="4833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517819</xdr:colOff>
      <xdr:row>3</xdr:row>
      <xdr:rowOff>184097</xdr:rowOff>
    </xdr:from>
    <xdr:to>
      <xdr:col>10</xdr:col>
      <xdr:colOff>517819</xdr:colOff>
      <xdr:row>5</xdr:row>
      <xdr:rowOff>184097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V="1">
          <a:off x="8763748" y="755597"/>
          <a:ext cx="0" cy="381000"/>
        </a:xfrm>
        <a:prstGeom prst="line">
          <a:avLst/>
        </a:prstGeom>
        <a:ln w="19050">
          <a:solidFill>
            <a:sysClr val="windowText" lastClr="000000"/>
          </a:solidFill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216381</xdr:colOff>
      <xdr:row>3</xdr:row>
      <xdr:rowOff>184097</xdr:rowOff>
    </xdr:from>
    <xdr:to>
      <xdr:col>11</xdr:col>
      <xdr:colOff>216381</xdr:colOff>
      <xdr:row>5</xdr:row>
      <xdr:rowOff>184097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V="1">
          <a:off x="9074631" y="755597"/>
          <a:ext cx="0" cy="381000"/>
        </a:xfrm>
        <a:prstGeom prst="line">
          <a:avLst/>
        </a:prstGeom>
        <a:ln w="19050">
          <a:solidFill>
            <a:sysClr val="windowText" lastClr="000000"/>
          </a:solidFill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511469</xdr:colOff>
      <xdr:row>3</xdr:row>
      <xdr:rowOff>190447</xdr:rowOff>
    </xdr:from>
    <xdr:to>
      <xdr:col>11</xdr:col>
      <xdr:colOff>511469</xdr:colOff>
      <xdr:row>5</xdr:row>
      <xdr:rowOff>190447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V="1">
          <a:off x="9369719" y="761947"/>
          <a:ext cx="0" cy="381000"/>
        </a:xfrm>
        <a:prstGeom prst="line">
          <a:avLst/>
        </a:prstGeom>
        <a:ln w="19050">
          <a:solidFill>
            <a:sysClr val="windowText" lastClr="000000"/>
          </a:solidFill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816003</xdr:colOff>
      <xdr:row>3</xdr:row>
      <xdr:rowOff>184097</xdr:rowOff>
    </xdr:from>
    <xdr:to>
      <xdr:col>11</xdr:col>
      <xdr:colOff>816003</xdr:colOff>
      <xdr:row>5</xdr:row>
      <xdr:rowOff>184097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9674253" y="755597"/>
          <a:ext cx="0" cy="381000"/>
        </a:xfrm>
        <a:prstGeom prst="line">
          <a:avLst/>
        </a:prstGeom>
        <a:ln w="19050">
          <a:solidFill>
            <a:sysClr val="windowText" lastClr="000000"/>
          </a:solidFill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238153</xdr:colOff>
      <xdr:row>3</xdr:row>
      <xdr:rowOff>190447</xdr:rowOff>
    </xdr:from>
    <xdr:to>
      <xdr:col>12</xdr:col>
      <xdr:colOff>238153</xdr:colOff>
      <xdr:row>5</xdr:row>
      <xdr:rowOff>190447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 flipV="1">
          <a:off x="9953653" y="761947"/>
          <a:ext cx="0" cy="381000"/>
        </a:xfrm>
        <a:prstGeom prst="line">
          <a:avLst/>
        </a:prstGeom>
        <a:ln w="19050">
          <a:solidFill>
            <a:sysClr val="windowText" lastClr="000000"/>
          </a:solidFill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502130</xdr:colOff>
      <xdr:row>3</xdr:row>
      <xdr:rowOff>190447</xdr:rowOff>
    </xdr:from>
    <xdr:to>
      <xdr:col>12</xdr:col>
      <xdr:colOff>244503</xdr:colOff>
      <xdr:row>3</xdr:row>
      <xdr:rowOff>190447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8748059" y="761947"/>
          <a:ext cx="1211944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503998</xdr:colOff>
      <xdr:row>5</xdr:row>
      <xdr:rowOff>177747</xdr:rowOff>
    </xdr:from>
    <xdr:to>
      <xdr:col>13</xdr:col>
      <xdr:colOff>525076</xdr:colOff>
      <xdr:row>5</xdr:row>
      <xdr:rowOff>177747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6912962" y="1130247"/>
          <a:ext cx="4293721" cy="0"/>
        </a:xfrm>
        <a:prstGeom prst="line">
          <a:avLst/>
        </a:prstGeom>
        <a:ln w="1905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957116</xdr:colOff>
      <xdr:row>6</xdr:row>
      <xdr:rowOff>108830</xdr:rowOff>
    </xdr:from>
    <xdr:to>
      <xdr:col>13</xdr:col>
      <xdr:colOff>127902</xdr:colOff>
      <xdr:row>7</xdr:row>
      <xdr:rowOff>61841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 flipV="1">
          <a:off x="10586891" y="1194680"/>
          <a:ext cx="142336" cy="143511"/>
        </a:xfrm>
        <a:prstGeom prst="triangle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526410</xdr:colOff>
      <xdr:row>21</xdr:row>
      <xdr:rowOff>181376</xdr:rowOff>
    </xdr:from>
    <xdr:to>
      <xdr:col>13</xdr:col>
      <xdr:colOff>529612</xdr:colOff>
      <xdr:row>21</xdr:row>
      <xdr:rowOff>181376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>
          <a:off x="6935374" y="4209090"/>
          <a:ext cx="427584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140180</xdr:colOff>
      <xdr:row>21</xdr:row>
      <xdr:rowOff>185004</xdr:rowOff>
    </xdr:from>
    <xdr:to>
      <xdr:col>13</xdr:col>
      <xdr:colOff>381480</xdr:colOff>
      <xdr:row>23</xdr:row>
      <xdr:rowOff>19901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 flipH="1">
          <a:off x="10821787" y="4212718"/>
          <a:ext cx="241300" cy="215897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941454</xdr:colOff>
      <xdr:row>21</xdr:row>
      <xdr:rowOff>169688</xdr:rowOff>
    </xdr:from>
    <xdr:to>
      <xdr:col>13</xdr:col>
      <xdr:colOff>216380</xdr:colOff>
      <xdr:row>23</xdr:row>
      <xdr:rowOff>7201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 flipH="1">
          <a:off x="10656954" y="4197402"/>
          <a:ext cx="241033" cy="218513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747966</xdr:colOff>
      <xdr:row>21</xdr:row>
      <xdr:rowOff>181375</xdr:rowOff>
    </xdr:from>
    <xdr:to>
      <xdr:col>13</xdr:col>
      <xdr:colOff>26147</xdr:colOff>
      <xdr:row>23</xdr:row>
      <xdr:rowOff>13551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H="1">
          <a:off x="10463466" y="4209089"/>
          <a:ext cx="244288" cy="213176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884304</xdr:colOff>
      <xdr:row>21</xdr:row>
      <xdr:rowOff>169688</xdr:rowOff>
    </xdr:from>
    <xdr:to>
      <xdr:col>13</xdr:col>
      <xdr:colOff>114780</xdr:colOff>
      <xdr:row>23</xdr:row>
      <xdr:rowOff>851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10599804" y="4197402"/>
          <a:ext cx="196583" cy="212163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697166</xdr:colOff>
      <xdr:row>21</xdr:row>
      <xdr:rowOff>185004</xdr:rowOff>
    </xdr:from>
    <xdr:to>
      <xdr:col>12</xdr:col>
      <xdr:colOff>897004</xdr:colOff>
      <xdr:row>23</xdr:row>
      <xdr:rowOff>13551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10412666" y="4212718"/>
          <a:ext cx="199838" cy="209547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292020</xdr:colOff>
      <xdr:row>2</xdr:row>
      <xdr:rowOff>165982</xdr:rowOff>
    </xdr:from>
    <xdr:to>
      <xdr:col>9</xdr:col>
      <xdr:colOff>292020</xdr:colOff>
      <xdr:row>5</xdr:row>
      <xdr:rowOff>150292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 flipV="1">
          <a:off x="7845345" y="527932"/>
          <a:ext cx="0" cy="527235"/>
        </a:xfrm>
        <a:prstGeom prst="line">
          <a:avLst/>
        </a:prstGeom>
        <a:ln w="19050">
          <a:solidFill>
            <a:sysClr val="windowText" lastClr="00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308642</xdr:colOff>
      <xdr:row>7</xdr:row>
      <xdr:rowOff>76200</xdr:rowOff>
    </xdr:from>
    <xdr:to>
      <xdr:col>9</xdr:col>
      <xdr:colOff>308642</xdr:colOff>
      <xdr:row>21</xdr:row>
      <xdr:rowOff>149681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 flipV="1">
          <a:off x="7861967" y="1352550"/>
          <a:ext cx="0" cy="2654756"/>
        </a:xfrm>
        <a:prstGeom prst="line">
          <a:avLst/>
        </a:prstGeom>
        <a:ln w="19050">
          <a:solidFill>
            <a:sysClr val="windowText" lastClr="00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3735</xdr:colOff>
      <xdr:row>3</xdr:row>
      <xdr:rowOff>144877</xdr:rowOff>
    </xdr:from>
    <xdr:to>
      <xdr:col>9</xdr:col>
      <xdr:colOff>279880</xdr:colOff>
      <xdr:row>5</xdr:row>
      <xdr:rowOff>51494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7025021" y="716377"/>
          <a:ext cx="888466" cy="287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D = 8 m</a:t>
          </a:r>
        </a:p>
      </xdr:txBody>
    </xdr:sp>
    <xdr:clientData/>
  </xdr:twoCellAnchor>
  <xdr:twoCellAnchor>
    <xdr:from>
      <xdr:col>8</xdr:col>
      <xdr:colOff>14194</xdr:colOff>
      <xdr:row>11</xdr:row>
      <xdr:rowOff>39541</xdr:rowOff>
    </xdr:from>
    <xdr:to>
      <xdr:col>9</xdr:col>
      <xdr:colOff>290339</xdr:colOff>
      <xdr:row>12</xdr:row>
      <xdr:rowOff>140395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7035480" y="2135041"/>
          <a:ext cx="888466" cy="291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48 m</a:t>
          </a:r>
        </a:p>
      </xdr:txBody>
    </xdr:sp>
    <xdr:clientData/>
  </xdr:twoCellAnchor>
  <xdr:twoCellAnchor>
    <xdr:from>
      <xdr:col>11</xdr:col>
      <xdr:colOff>666590</xdr:colOff>
      <xdr:row>8</xdr:row>
      <xdr:rowOff>103788</xdr:rowOff>
    </xdr:from>
    <xdr:to>
      <xdr:col>13</xdr:col>
      <xdr:colOff>323369</xdr:colOff>
      <xdr:row>17</xdr:row>
      <xdr:rowOff>187032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9524840" y="1627788"/>
          <a:ext cx="1480136" cy="1824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Soil: Clay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Total 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γ</a:t>
          </a: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= 15 kN/m3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Su = 150 kPa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OCR = 2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PI = 40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Cc = 0.54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Cs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= 0.054</a:t>
          </a:r>
        </a:p>
        <a:p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eo = 0.75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350104</xdr:colOff>
      <xdr:row>2</xdr:row>
      <xdr:rowOff>69424</xdr:rowOff>
    </xdr:from>
    <xdr:to>
      <xdr:col>12</xdr:col>
      <xdr:colOff>381588</xdr:colOff>
      <xdr:row>3</xdr:row>
      <xdr:rowOff>170277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9208354" y="450424"/>
          <a:ext cx="888734" cy="291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qb</a:t>
          </a:r>
        </a:p>
      </xdr:txBody>
    </xdr:sp>
    <xdr:clientData/>
  </xdr:twoCellAnchor>
  <xdr:twoCellAnchor>
    <xdr:from>
      <xdr:col>10</xdr:col>
      <xdr:colOff>548820</xdr:colOff>
      <xdr:row>21</xdr:row>
      <xdr:rowOff>179562</xdr:rowOff>
    </xdr:from>
    <xdr:to>
      <xdr:col>13</xdr:col>
      <xdr:colOff>121663</xdr:colOff>
      <xdr:row>23</xdr:row>
      <xdr:rowOff>86179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8794749" y="4207276"/>
          <a:ext cx="2008521" cy="287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Bedrock</a:t>
          </a:r>
        </a:p>
      </xdr:txBody>
    </xdr:sp>
    <xdr:clientData/>
  </xdr:twoCellAnchor>
  <xdr:twoCellAnchor>
    <xdr:from>
      <xdr:col>7</xdr:col>
      <xdr:colOff>521687</xdr:colOff>
      <xdr:row>7</xdr:row>
      <xdr:rowOff>82497</xdr:rowOff>
    </xdr:from>
    <xdr:to>
      <xdr:col>13</xdr:col>
      <xdr:colOff>542765</xdr:colOff>
      <xdr:row>7</xdr:row>
      <xdr:rowOff>82497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>
          <a:off x="6855812" y="1358847"/>
          <a:ext cx="4288278" cy="0"/>
        </a:xfrm>
        <a:prstGeom prst="line">
          <a:avLst/>
        </a:prstGeom>
        <a:ln w="1905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292020</xdr:colOff>
      <xdr:row>5</xdr:row>
      <xdr:rowOff>152400</xdr:rowOff>
    </xdr:from>
    <xdr:to>
      <xdr:col>9</xdr:col>
      <xdr:colOff>292020</xdr:colOff>
      <xdr:row>7</xdr:row>
      <xdr:rowOff>83618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V="1">
          <a:off x="7845345" y="1057275"/>
          <a:ext cx="0" cy="302693"/>
        </a:xfrm>
        <a:prstGeom prst="line">
          <a:avLst/>
        </a:prstGeom>
        <a:ln w="19050">
          <a:solidFill>
            <a:sysClr val="windowText" lastClr="00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5096</xdr:colOff>
      <xdr:row>5</xdr:row>
      <xdr:rowOff>173452</xdr:rowOff>
    </xdr:from>
    <xdr:to>
      <xdr:col>9</xdr:col>
      <xdr:colOff>281241</xdr:colOff>
      <xdr:row>7</xdr:row>
      <xdr:rowOff>80069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6948821" y="1078327"/>
          <a:ext cx="885745" cy="268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2 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6"/>
  <sheetViews>
    <sheetView showGridLines="0" tabSelected="1" topLeftCell="A17" zoomScale="85" zoomScaleNormal="85" workbookViewId="0">
      <selection activeCell="B29" sqref="B29"/>
    </sheetView>
  </sheetViews>
  <sheetFormatPr defaultColWidth="9.1796875" defaultRowHeight="14" x14ac:dyDescent="0.3"/>
  <cols>
    <col min="1" max="1" width="9.1796875" style="2"/>
    <col min="2" max="2" width="56" style="2" customWidth="1"/>
    <col min="3" max="3" width="8.7265625" style="2" customWidth="1"/>
    <col min="4" max="4" width="9.26953125" style="2" bestFit="1" customWidth="1"/>
    <col min="5" max="6" width="11.26953125" style="2" customWidth="1"/>
    <col min="7" max="7" width="9.54296875" style="2" customWidth="1"/>
    <col min="8" max="9" width="11.7265625" style="2" customWidth="1"/>
    <col min="10" max="10" width="11.1796875" style="2" customWidth="1"/>
    <col min="11" max="11" width="9.1796875" style="2" customWidth="1"/>
    <col min="12" max="12" width="10.54296875" style="2" customWidth="1"/>
    <col min="13" max="13" width="6" style="2" customWidth="1"/>
    <col min="14" max="16384" width="9.1796875" style="2"/>
  </cols>
  <sheetData>
    <row r="1" spans="2:13" ht="14.5" thickBot="1" x14ac:dyDescent="0.35"/>
    <row r="2" spans="2:13" s="1" customFormat="1" ht="57.5" thickBot="1" x14ac:dyDescent="0.45">
      <c r="B2" s="3" t="s">
        <v>1</v>
      </c>
      <c r="C2" s="4" t="s">
        <v>2</v>
      </c>
      <c r="D2" s="4" t="s">
        <v>0</v>
      </c>
      <c r="E2" s="4" t="s">
        <v>35</v>
      </c>
      <c r="F2" s="4" t="s">
        <v>43</v>
      </c>
      <c r="G2" s="4" t="s">
        <v>37</v>
      </c>
      <c r="H2" s="4" t="s">
        <v>41</v>
      </c>
      <c r="I2" s="4" t="s">
        <v>42</v>
      </c>
      <c r="J2" s="4" t="s">
        <v>40</v>
      </c>
      <c r="K2" s="4" t="s">
        <v>39</v>
      </c>
      <c r="L2" s="4" t="s">
        <v>38</v>
      </c>
      <c r="M2" s="21" t="s">
        <v>36</v>
      </c>
    </row>
    <row r="3" spans="2:13" ht="14.5" thickTop="1" x14ac:dyDescent="0.3">
      <c r="B3" s="5">
        <v>1</v>
      </c>
      <c r="C3" s="6" t="s">
        <v>3</v>
      </c>
      <c r="D3" s="6">
        <v>7</v>
      </c>
      <c r="E3" s="6"/>
      <c r="F3" s="6"/>
      <c r="G3" s="6"/>
      <c r="H3" s="6"/>
      <c r="I3" s="18"/>
      <c r="J3" s="6"/>
      <c r="K3" s="6"/>
      <c r="L3" s="6"/>
      <c r="M3" s="22"/>
    </row>
    <row r="4" spans="2:13" x14ac:dyDescent="0.3">
      <c r="B4" s="8">
        <v>1</v>
      </c>
      <c r="C4" s="9" t="s">
        <v>3</v>
      </c>
      <c r="D4" s="9">
        <v>8</v>
      </c>
      <c r="E4" s="9"/>
      <c r="F4" s="9"/>
      <c r="G4" s="9"/>
      <c r="H4" s="9"/>
      <c r="I4" s="19"/>
      <c r="J4" s="9"/>
      <c r="K4" s="9"/>
      <c r="L4" s="9"/>
      <c r="M4" s="23"/>
    </row>
    <row r="5" spans="2:13" x14ac:dyDescent="0.3">
      <c r="B5" s="5">
        <v>2</v>
      </c>
      <c r="C5" s="6" t="s">
        <v>4</v>
      </c>
      <c r="D5" s="6">
        <v>9</v>
      </c>
      <c r="E5" s="6"/>
      <c r="F5" s="6"/>
      <c r="G5" s="6"/>
      <c r="H5" s="6"/>
      <c r="I5" s="18"/>
      <c r="J5" s="6"/>
      <c r="K5" s="6"/>
      <c r="L5" s="6"/>
      <c r="M5" s="22"/>
    </row>
    <row r="6" spans="2:13" x14ac:dyDescent="0.3">
      <c r="B6" s="5">
        <v>2</v>
      </c>
      <c r="C6" s="6" t="s">
        <v>4</v>
      </c>
      <c r="D6" s="6">
        <v>10</v>
      </c>
      <c r="E6" s="6"/>
      <c r="F6" s="6"/>
      <c r="G6" s="6"/>
      <c r="H6" s="6"/>
      <c r="I6" s="18"/>
      <c r="J6" s="6"/>
      <c r="K6" s="6"/>
      <c r="L6" s="6"/>
      <c r="M6" s="22"/>
    </row>
    <row r="7" spans="2:13" x14ac:dyDescent="0.3">
      <c r="B7" s="8">
        <v>2</v>
      </c>
      <c r="C7" s="9" t="s">
        <v>4</v>
      </c>
      <c r="D7" s="9">
        <v>11</v>
      </c>
      <c r="E7" s="9"/>
      <c r="F7" s="9"/>
      <c r="G7" s="9"/>
      <c r="H7" s="9"/>
      <c r="I7" s="19"/>
      <c r="J7" s="9"/>
      <c r="K7" s="9"/>
      <c r="L7" s="9"/>
      <c r="M7" s="23"/>
    </row>
    <row r="8" spans="2:13" x14ac:dyDescent="0.3">
      <c r="B8" s="5">
        <v>3</v>
      </c>
      <c r="C8" s="6" t="s">
        <v>3</v>
      </c>
      <c r="D8" s="6">
        <v>12</v>
      </c>
      <c r="E8" s="6"/>
      <c r="F8" s="6"/>
      <c r="G8" s="6"/>
      <c r="H8" s="6"/>
      <c r="I8" s="18"/>
      <c r="J8" s="6"/>
      <c r="K8" s="6"/>
      <c r="L8" s="6"/>
      <c r="M8" s="22"/>
    </row>
    <row r="9" spans="2:13" x14ac:dyDescent="0.3">
      <c r="B9" s="5">
        <v>3</v>
      </c>
      <c r="C9" s="6" t="s">
        <v>3</v>
      </c>
      <c r="D9" s="6">
        <v>13</v>
      </c>
      <c r="E9" s="6"/>
      <c r="F9" s="6"/>
      <c r="G9" s="6"/>
      <c r="H9" s="6"/>
      <c r="I9" s="18"/>
      <c r="J9" s="6"/>
      <c r="K9" s="6"/>
      <c r="L9" s="6"/>
      <c r="M9" s="22"/>
    </row>
    <row r="10" spans="2:13" ht="14.5" thickBot="1" x14ac:dyDescent="0.35">
      <c r="B10" s="11">
        <v>3</v>
      </c>
      <c r="C10" s="12" t="s">
        <v>3</v>
      </c>
      <c r="D10" s="12">
        <v>14</v>
      </c>
      <c r="E10" s="12"/>
      <c r="F10" s="12"/>
      <c r="G10" s="12"/>
      <c r="H10" s="12"/>
      <c r="I10" s="20"/>
      <c r="J10" s="12"/>
      <c r="K10" s="12"/>
      <c r="L10" s="12"/>
      <c r="M10" s="24"/>
    </row>
    <row r="11" spans="2:13" x14ac:dyDescent="0.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</row>
    <row r="13" spans="2:13" x14ac:dyDescent="0.3">
      <c r="B13" s="10" t="s">
        <v>62</v>
      </c>
      <c r="C13" s="10"/>
    </row>
    <row r="14" spans="2:13" x14ac:dyDescent="0.3">
      <c r="B14" s="2" t="s">
        <v>9</v>
      </c>
    </row>
    <row r="15" spans="2:13" x14ac:dyDescent="0.3">
      <c r="B15" s="2" t="s">
        <v>10</v>
      </c>
    </row>
    <row r="16" spans="2:13" x14ac:dyDescent="0.3">
      <c r="B16" s="2" t="s">
        <v>11</v>
      </c>
    </row>
    <row r="17" spans="2:3" x14ac:dyDescent="0.3">
      <c r="B17" s="2" t="s">
        <v>14</v>
      </c>
    </row>
    <row r="18" spans="2:3" x14ac:dyDescent="0.3">
      <c r="B18" s="1" t="s">
        <v>13</v>
      </c>
    </row>
    <row r="19" spans="2:3" x14ac:dyDescent="0.3">
      <c r="B19" s="2" t="s">
        <v>15</v>
      </c>
    </row>
    <row r="20" spans="2:3" x14ac:dyDescent="0.3">
      <c r="B20" s="29" t="s">
        <v>81</v>
      </c>
    </row>
    <row r="21" spans="2:3" x14ac:dyDescent="0.3">
      <c r="B21" s="2" t="s">
        <v>48</v>
      </c>
      <c r="C21" s="14"/>
    </row>
    <row r="23" spans="2:3" x14ac:dyDescent="0.3">
      <c r="B23" s="10" t="s">
        <v>47</v>
      </c>
      <c r="C23" s="10"/>
    </row>
    <row r="24" spans="2:3" x14ac:dyDescent="0.3">
      <c r="B24" s="2" t="s">
        <v>44</v>
      </c>
    </row>
    <row r="25" spans="2:3" x14ac:dyDescent="0.3">
      <c r="B25" s="29" t="s">
        <v>80</v>
      </c>
      <c r="C25" s="14"/>
    </row>
    <row r="27" spans="2:3" x14ac:dyDescent="0.3">
      <c r="B27" s="10" t="s">
        <v>46</v>
      </c>
      <c r="C27" s="10"/>
    </row>
    <row r="28" spans="2:3" x14ac:dyDescent="0.3">
      <c r="B28" s="29" t="s">
        <v>96</v>
      </c>
      <c r="C28" s="14"/>
    </row>
    <row r="30" spans="2:3" x14ac:dyDescent="0.3">
      <c r="B30" s="10" t="s">
        <v>45</v>
      </c>
      <c r="C30" s="10"/>
    </row>
    <row r="31" spans="2:3" x14ac:dyDescent="0.3">
      <c r="B31" s="29" t="s">
        <v>79</v>
      </c>
    </row>
    <row r="33" spans="2:3" x14ac:dyDescent="0.3">
      <c r="B33" s="10" t="s">
        <v>49</v>
      </c>
      <c r="C33" s="10"/>
    </row>
    <row r="34" spans="2:3" x14ac:dyDescent="0.3">
      <c r="B34" s="29" t="s">
        <v>78</v>
      </c>
      <c r="C34" s="15"/>
    </row>
    <row r="36" spans="2:3" x14ac:dyDescent="0.3">
      <c r="B36" s="10" t="s">
        <v>50</v>
      </c>
      <c r="C36" s="10"/>
    </row>
    <row r="37" spans="2:3" x14ac:dyDescent="0.3">
      <c r="B37" s="2" t="s">
        <v>16</v>
      </c>
    </row>
    <row r="38" spans="2:3" x14ac:dyDescent="0.3">
      <c r="B38" s="29" t="s">
        <v>77</v>
      </c>
      <c r="C38" s="15"/>
    </row>
    <row r="41" spans="2:3" x14ac:dyDescent="0.3">
      <c r="B41" s="10" t="s">
        <v>51</v>
      </c>
      <c r="C41" s="10"/>
    </row>
    <row r="42" spans="2:3" x14ac:dyDescent="0.3">
      <c r="B42" s="25" t="s">
        <v>52</v>
      </c>
    </row>
    <row r="43" spans="2:3" x14ac:dyDescent="0.3">
      <c r="B43" s="2" t="s">
        <v>53</v>
      </c>
    </row>
    <row r="44" spans="2:3" x14ac:dyDescent="0.3">
      <c r="B44" s="25" t="s">
        <v>83</v>
      </c>
    </row>
    <row r="45" spans="2:3" x14ac:dyDescent="0.3">
      <c r="B45" s="2" t="s">
        <v>54</v>
      </c>
    </row>
    <row r="46" spans="2:3" x14ac:dyDescent="0.3">
      <c r="B46" s="2" t="s">
        <v>55</v>
      </c>
    </row>
    <row r="47" spans="2:3" x14ac:dyDescent="0.3">
      <c r="B47" s="2" t="s">
        <v>56</v>
      </c>
    </row>
    <row r="48" spans="2:3" x14ac:dyDescent="0.3">
      <c r="B48" s="29" t="s">
        <v>82</v>
      </c>
    </row>
    <row r="50" spans="2:3" x14ac:dyDescent="0.3">
      <c r="B50" s="30" t="s">
        <v>84</v>
      </c>
      <c r="C50" s="10"/>
    </row>
    <row r="51" spans="2:3" x14ac:dyDescent="0.3">
      <c r="B51" s="29" t="s">
        <v>72</v>
      </c>
    </row>
    <row r="52" spans="2:3" x14ac:dyDescent="0.3">
      <c r="B52" s="25" t="s">
        <v>58</v>
      </c>
    </row>
    <row r="53" spans="2:3" x14ac:dyDescent="0.3">
      <c r="B53" s="1" t="s">
        <v>12</v>
      </c>
    </row>
    <row r="54" spans="2:3" x14ac:dyDescent="0.3">
      <c r="B54" s="1" t="s">
        <v>6</v>
      </c>
    </row>
    <row r="55" spans="2:3" x14ac:dyDescent="0.3">
      <c r="B55" s="2" t="s">
        <v>57</v>
      </c>
      <c r="C55" s="14"/>
    </row>
    <row r="58" spans="2:3" x14ac:dyDescent="0.3">
      <c r="B58" s="10" t="s">
        <v>59</v>
      </c>
      <c r="C58" s="10"/>
    </row>
    <row r="59" spans="2:3" ht="14.5" x14ac:dyDescent="0.35">
      <c r="B59" t="s">
        <v>60</v>
      </c>
      <c r="C59" s="17"/>
    </row>
    <row r="60" spans="2:3" ht="14.5" x14ac:dyDescent="0.35">
      <c r="B60"/>
    </row>
    <row r="61" spans="2:3" x14ac:dyDescent="0.3">
      <c r="B61" s="10" t="s">
        <v>61</v>
      </c>
      <c r="C61" s="10"/>
    </row>
    <row r="62" spans="2:3" ht="14.5" x14ac:dyDescent="0.35">
      <c r="B62" t="s">
        <v>60</v>
      </c>
      <c r="C62" s="17"/>
    </row>
    <row r="63" spans="2:3" ht="14.5" x14ac:dyDescent="0.35">
      <c r="B63"/>
    </row>
    <row r="66" spans="2:2" ht="14.5" x14ac:dyDescent="0.35">
      <c r="B66"/>
    </row>
    <row r="67" spans="2:2" ht="14.5" x14ac:dyDescent="0.35">
      <c r="B67"/>
    </row>
    <row r="68" spans="2:2" ht="14.5" x14ac:dyDescent="0.35">
      <c r="B68"/>
    </row>
    <row r="69" spans="2:2" ht="14.5" x14ac:dyDescent="0.35">
      <c r="B69"/>
    </row>
    <row r="70" spans="2:2" ht="14.5" x14ac:dyDescent="0.35">
      <c r="B70"/>
    </row>
    <row r="71" spans="2:2" ht="14.5" x14ac:dyDescent="0.35">
      <c r="B71"/>
    </row>
    <row r="72" spans="2:2" ht="14.5" x14ac:dyDescent="0.35">
      <c r="B72"/>
    </row>
    <row r="73" spans="2:2" ht="14.5" x14ac:dyDescent="0.35">
      <c r="B73"/>
    </row>
    <row r="74" spans="2:2" ht="14.5" x14ac:dyDescent="0.35">
      <c r="B74"/>
    </row>
    <row r="75" spans="2:2" ht="14.5" x14ac:dyDescent="0.35">
      <c r="B75"/>
    </row>
    <row r="76" spans="2:2" ht="14.5" x14ac:dyDescent="0.35">
      <c r="B76"/>
    </row>
    <row r="77" spans="2:2" ht="14.5" x14ac:dyDescent="0.35">
      <c r="B77"/>
    </row>
    <row r="78" spans="2:2" ht="14.5" x14ac:dyDescent="0.35">
      <c r="B78"/>
    </row>
    <row r="79" spans="2:2" ht="14.5" x14ac:dyDescent="0.35">
      <c r="B79"/>
    </row>
    <row r="80" spans="2:2" ht="14.5" x14ac:dyDescent="0.35">
      <c r="B80"/>
    </row>
    <row r="81" spans="2:3" ht="14.5" x14ac:dyDescent="0.35">
      <c r="B81"/>
    </row>
    <row r="82" spans="2:3" ht="14.5" x14ac:dyDescent="0.35">
      <c r="B82"/>
    </row>
    <row r="83" spans="2:3" ht="14.5" x14ac:dyDescent="0.35">
      <c r="B83"/>
    </row>
    <row r="84" spans="2:3" ht="14.5" x14ac:dyDescent="0.35">
      <c r="B84"/>
    </row>
    <row r="85" spans="2:3" x14ac:dyDescent="0.3">
      <c r="C85" s="16"/>
    </row>
    <row r="86" spans="2:3" x14ac:dyDescent="0.3">
      <c r="C86" s="16"/>
    </row>
    <row r="89" spans="2:3" x14ac:dyDescent="0.3">
      <c r="C89" s="15"/>
    </row>
    <row r="90" spans="2:3" x14ac:dyDescent="0.3">
      <c r="C90" s="14"/>
    </row>
    <row r="95" spans="2:3" x14ac:dyDescent="0.3">
      <c r="C95" s="17"/>
    </row>
    <row r="96" spans="2:3" x14ac:dyDescent="0.3">
      <c r="C96" s="17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55"/>
  <sheetViews>
    <sheetView showGridLines="0" topLeftCell="A22" zoomScaleNormal="100" workbookViewId="0">
      <selection activeCell="B51" sqref="B51"/>
    </sheetView>
  </sheetViews>
  <sheetFormatPr defaultColWidth="9.1796875" defaultRowHeight="14" x14ac:dyDescent="0.3"/>
  <cols>
    <col min="1" max="1" width="2.453125" style="2" customWidth="1"/>
    <col min="2" max="2" width="73.453125" style="2" bestFit="1" customWidth="1"/>
    <col min="3" max="3" width="20.1796875" style="2" bestFit="1" customWidth="1"/>
    <col min="4" max="11" width="9.1796875" style="2"/>
    <col min="12" max="12" width="12.81640625" style="2" customWidth="1"/>
    <col min="13" max="13" width="14.54296875" style="2" customWidth="1"/>
    <col min="14" max="14" width="12.26953125" style="2" customWidth="1"/>
    <col min="15" max="15" width="10.54296875" style="2" customWidth="1"/>
    <col min="16" max="16384" width="9.1796875" style="2"/>
  </cols>
  <sheetData>
    <row r="2" spans="2:3" x14ac:dyDescent="0.3">
      <c r="B2" s="10" t="s">
        <v>70</v>
      </c>
      <c r="C2" s="10"/>
    </row>
    <row r="3" spans="2:3" x14ac:dyDescent="0.3">
      <c r="B3" s="2" t="s">
        <v>63</v>
      </c>
    </row>
    <row r="4" spans="2:3" x14ac:dyDescent="0.3">
      <c r="B4" s="2" t="s">
        <v>69</v>
      </c>
    </row>
    <row r="5" spans="2:3" x14ac:dyDescent="0.3">
      <c r="B5" s="29" t="s">
        <v>85</v>
      </c>
    </row>
    <row r="8" spans="2:3" x14ac:dyDescent="0.3">
      <c r="B8" s="10" t="s">
        <v>65</v>
      </c>
      <c r="C8" s="10"/>
    </row>
    <row r="9" spans="2:3" x14ac:dyDescent="0.3">
      <c r="B9" s="2" t="s">
        <v>17</v>
      </c>
    </row>
    <row r="10" spans="2:3" x14ac:dyDescent="0.3">
      <c r="B10" s="2" t="s">
        <v>18</v>
      </c>
    </row>
    <row r="11" spans="2:3" x14ac:dyDescent="0.3">
      <c r="B11" s="2" t="s">
        <v>16</v>
      </c>
    </row>
    <row r="12" spans="2:3" x14ac:dyDescent="0.3">
      <c r="B12" s="2" t="s">
        <v>72</v>
      </c>
    </row>
    <row r="13" spans="2:3" x14ac:dyDescent="0.3">
      <c r="B13" s="2" t="s">
        <v>66</v>
      </c>
      <c r="C13" s="15"/>
    </row>
    <row r="14" spans="2:3" x14ac:dyDescent="0.3">
      <c r="B14" s="2" t="s">
        <v>67</v>
      </c>
      <c r="C14" s="15"/>
    </row>
    <row r="15" spans="2:3" x14ac:dyDescent="0.3">
      <c r="B15" s="2" t="s">
        <v>68</v>
      </c>
      <c r="C15" s="15"/>
    </row>
    <row r="16" spans="2:3" ht="16" x14ac:dyDescent="0.4">
      <c r="B16" s="29" t="s">
        <v>86</v>
      </c>
    </row>
    <row r="17" spans="2:3" ht="16" x14ac:dyDescent="0.4">
      <c r="B17" s="29" t="s">
        <v>87</v>
      </c>
    </row>
    <row r="18" spans="2:3" x14ac:dyDescent="0.3">
      <c r="C18" s="16"/>
    </row>
    <row r="19" spans="2:3" x14ac:dyDescent="0.3">
      <c r="B19" s="10" t="s">
        <v>74</v>
      </c>
      <c r="C19" s="26"/>
    </row>
    <row r="20" spans="2:3" x14ac:dyDescent="0.3">
      <c r="B20" s="2" t="s">
        <v>71</v>
      </c>
    </row>
    <row r="21" spans="2:3" x14ac:dyDescent="0.3">
      <c r="B21" s="2" t="s">
        <v>64</v>
      </c>
    </row>
    <row r="22" spans="2:3" x14ac:dyDescent="0.3">
      <c r="B22" s="29" t="s">
        <v>88</v>
      </c>
    </row>
    <row r="23" spans="2:3" ht="16.5" x14ac:dyDescent="0.3">
      <c r="B23" s="29" t="s">
        <v>75</v>
      </c>
    </row>
    <row r="24" spans="2:3" x14ac:dyDescent="0.3">
      <c r="B24" s="29" t="s">
        <v>89</v>
      </c>
      <c r="C24" s="16"/>
    </row>
    <row r="26" spans="2:3" x14ac:dyDescent="0.3">
      <c r="B26" s="10" t="s">
        <v>19</v>
      </c>
      <c r="C26" s="10"/>
    </row>
    <row r="27" spans="2:3" ht="16.5" x14ac:dyDescent="0.3">
      <c r="B27" s="2" t="s">
        <v>75</v>
      </c>
    </row>
    <row r="28" spans="2:3" x14ac:dyDescent="0.3">
      <c r="B28" s="1" t="s">
        <v>6</v>
      </c>
    </row>
    <row r="29" spans="2:3" x14ac:dyDescent="0.3">
      <c r="B29" s="2" t="s">
        <v>72</v>
      </c>
    </row>
    <row r="30" spans="2:3" x14ac:dyDescent="0.3">
      <c r="B30" s="2" t="s">
        <v>17</v>
      </c>
    </row>
    <row r="31" spans="2:3" x14ac:dyDescent="0.3">
      <c r="B31" s="2" t="s">
        <v>18</v>
      </c>
    </row>
    <row r="32" spans="2:3" x14ac:dyDescent="0.3">
      <c r="B32" s="2" t="s">
        <v>26</v>
      </c>
    </row>
    <row r="33" spans="2:17" x14ac:dyDescent="0.3">
      <c r="B33" s="2" t="s">
        <v>27</v>
      </c>
    </row>
    <row r="34" spans="2:17" x14ac:dyDescent="0.3">
      <c r="B34" s="2" t="s">
        <v>28</v>
      </c>
    </row>
    <row r="36" spans="2:17" ht="14.5" thickBot="1" x14ac:dyDescent="0.35"/>
    <row r="37" spans="2:17" s="1" customFormat="1" ht="56.5" thickBot="1" x14ac:dyDescent="0.35">
      <c r="B37" s="3" t="s">
        <v>20</v>
      </c>
      <c r="C37" s="4" t="s">
        <v>21</v>
      </c>
      <c r="D37" s="4" t="s">
        <v>22</v>
      </c>
      <c r="E37" s="4" t="s">
        <v>23</v>
      </c>
      <c r="F37" s="4" t="s">
        <v>33</v>
      </c>
      <c r="G37" s="4" t="s">
        <v>5</v>
      </c>
      <c r="H37" s="4" t="s">
        <v>7</v>
      </c>
      <c r="I37" s="4" t="s">
        <v>8</v>
      </c>
      <c r="J37" s="4" t="s">
        <v>24</v>
      </c>
      <c r="K37" s="4" t="s">
        <v>25</v>
      </c>
      <c r="L37" s="4" t="s">
        <v>73</v>
      </c>
      <c r="M37" s="31" t="s">
        <v>92</v>
      </c>
      <c r="N37" s="31" t="s">
        <v>91</v>
      </c>
      <c r="O37" s="4" t="s">
        <v>29</v>
      </c>
      <c r="P37" s="4" t="s">
        <v>76</v>
      </c>
      <c r="Q37" s="32" t="s">
        <v>90</v>
      </c>
    </row>
    <row r="38" spans="2:17" ht="14.5" thickTop="1" x14ac:dyDescent="0.3">
      <c r="B38" s="5">
        <v>1</v>
      </c>
      <c r="C38" s="6"/>
      <c r="D38" s="6"/>
      <c r="E38" s="6"/>
      <c r="F38" s="6"/>
      <c r="G38" s="6"/>
      <c r="H38" s="7"/>
      <c r="I38" s="7"/>
      <c r="J38" s="6"/>
      <c r="K38" s="7"/>
      <c r="L38" s="6"/>
      <c r="M38" s="7"/>
      <c r="N38" s="7"/>
      <c r="O38" s="6"/>
      <c r="P38" s="6"/>
      <c r="Q38" s="27"/>
    </row>
    <row r="39" spans="2:17" x14ac:dyDescent="0.3">
      <c r="B39" s="5">
        <v>2</v>
      </c>
      <c r="C39" s="6"/>
      <c r="D39" s="6"/>
      <c r="E39" s="6"/>
      <c r="F39" s="6"/>
      <c r="G39" s="6"/>
      <c r="H39" s="7"/>
      <c r="I39" s="7"/>
      <c r="J39" s="6"/>
      <c r="K39" s="7"/>
      <c r="L39" s="6"/>
      <c r="M39" s="7"/>
      <c r="N39" s="7"/>
      <c r="O39" s="6"/>
      <c r="P39" s="6"/>
      <c r="Q39" s="27"/>
    </row>
    <row r="40" spans="2:17" x14ac:dyDescent="0.3">
      <c r="B40" s="5">
        <v>3</v>
      </c>
      <c r="C40" s="6"/>
      <c r="D40" s="6"/>
      <c r="E40" s="6"/>
      <c r="F40" s="6"/>
      <c r="G40" s="6"/>
      <c r="H40" s="7"/>
      <c r="I40" s="7"/>
      <c r="J40" s="6"/>
      <c r="K40" s="7"/>
      <c r="L40" s="6"/>
      <c r="M40" s="7"/>
      <c r="N40" s="7"/>
      <c r="O40" s="6"/>
      <c r="P40" s="6"/>
      <c r="Q40" s="27"/>
    </row>
    <row r="41" spans="2:17" ht="14.5" thickBot="1" x14ac:dyDescent="0.35">
      <c r="B41" s="11">
        <v>4</v>
      </c>
      <c r="C41" s="12"/>
      <c r="D41" s="12"/>
      <c r="E41" s="12"/>
      <c r="F41" s="12"/>
      <c r="G41" s="12"/>
      <c r="H41" s="13"/>
      <c r="I41" s="13"/>
      <c r="J41" s="12"/>
      <c r="K41" s="13"/>
      <c r="L41" s="12"/>
      <c r="M41" s="13"/>
      <c r="N41" s="13"/>
      <c r="O41" s="12"/>
      <c r="P41" s="12"/>
      <c r="Q41" s="28"/>
    </row>
    <row r="42" spans="2:17" x14ac:dyDescent="0.3">
      <c r="B42" s="2" t="s">
        <v>34</v>
      </c>
    </row>
    <row r="43" spans="2:17" x14ac:dyDescent="0.3">
      <c r="B43" s="2" t="s">
        <v>31</v>
      </c>
    </row>
    <row r="44" spans="2:17" x14ac:dyDescent="0.3">
      <c r="B44" s="2" t="s">
        <v>30</v>
      </c>
    </row>
    <row r="45" spans="2:17" x14ac:dyDescent="0.3">
      <c r="B45" s="2" t="s">
        <v>32</v>
      </c>
    </row>
    <row r="48" spans="2:17" x14ac:dyDescent="0.3">
      <c r="B48" s="29" t="s">
        <v>93</v>
      </c>
      <c r="C48" s="17"/>
    </row>
    <row r="49" spans="2:3" x14ac:dyDescent="0.3">
      <c r="B49" s="29" t="s">
        <v>94</v>
      </c>
    </row>
    <row r="50" spans="2:3" x14ac:dyDescent="0.3">
      <c r="B50" s="29" t="s">
        <v>95</v>
      </c>
    </row>
    <row r="52" spans="2:3" x14ac:dyDescent="0.3">
      <c r="C52" s="17"/>
    </row>
    <row r="55" spans="2:3" x14ac:dyDescent="0.3">
      <c r="C55" s="15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Sand</vt:lpstr>
      <vt:lpstr>Clay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2024-02-15T07:32:08Z</dcterms:modified>
</cp:coreProperties>
</file>